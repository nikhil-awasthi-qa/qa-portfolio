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e35fa0240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b8f02b3b0e4fbc"/>
    <x:sheet xmlns:r="http://schemas.openxmlformats.org/officeDocument/2006/relationships" name="Bug Log" sheetId="2" r:id="Rb7cebcdeb5784a8e"/>
    <x:sheet xmlns:r="http://schemas.openxmlformats.org/officeDocument/2006/relationships" name="Test Cases" sheetId="3" r:id="R6b79b80630214e6f"/>
    <x:sheet xmlns:r="http://schemas.openxmlformats.org/officeDocument/2006/relationships" name="Environment" sheetId="4" r:id="R5412a40d96604c08"/>
    <x:sheet xmlns:r="http://schemas.openxmlformats.org/officeDocument/2006/relationships" name="Evidence Index" sheetId="5" r:id="Re9650a7ee93c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5C3A"/>
      <x:name val="Carlito"/>
    </x:font>
    <x:font>
      <x:b/>
      <x:sz val="11"/>
      <x:color rgb="FFFFFFFF"/>
      <x:name val="Carlito"/>
    </x:font>
    <x:font>
      <x:b/>
      <x:sz val="11"/>
      <x:color rgb="FF1F5C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5C3A"/>
      </x:patternFill>
    </x:fill>
    <x:fill>
      <x:patternFill patternType="solid">
        <x:fgColor rgb="FFEAF4EC"/>
      </x:patternFill>
    </x:fill>
    <x:fill>
      <x:patternFill patternType="solid">
        <x:fgColor rgb="FF2F6B46"/>
      </x:patternFill>
    </x:fill>
    <x:fill>
      <x:patternFill patternType="solid">
        <x:fgColor rgb="FFDCEFE1"/>
      </x:patternFill>
    </x:fill>
    <x:fill>
      <x:patternFill patternType="solid">
        <x:fgColor rgb="FFEAF6FB"/>
      </x:patternFill>
    </x:fill>
    <x:fill>
      <x:patternFill patternType="solid">
        <x:fgColor rgb="FFFFFFFF"/>
      </x:patternFill>
    </x:fill>
    <x:fill>
      <x:patternFill patternType="solid">
        <x:fgColor rgb="FFF7FA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e044e2c8b4cfe" /><Relationship Type="http://schemas.openxmlformats.org/officeDocument/2006/relationships/theme" Target="/xl/theme/theme1.xml" Id="Rbd5e9c5e209a488c" /><Relationship Type="http://schemas.openxmlformats.org/officeDocument/2006/relationships/sharedStrings" Target="/xl/sharedStrings.xml" Id="Ref5d8ec0ee5d47f6" /><Relationship Type="http://schemas.openxmlformats.org/officeDocument/2006/relationships/worksheet" Target="/xl/worksheets/sheet1.xml" Id="R63b8f02b3b0e4fbc" /><Relationship Type="http://schemas.openxmlformats.org/officeDocument/2006/relationships/worksheet" Target="/xl/worksheets/sheet2.xml" Id="Rb7cebcdeb5784a8e" /><Relationship Type="http://schemas.openxmlformats.org/officeDocument/2006/relationships/worksheet" Target="/xl/worksheets/sheet3.xml" Id="R6b79b80630214e6f" /><Relationship Type="http://schemas.openxmlformats.org/officeDocument/2006/relationships/worksheet" Target="/xl/worksheets/sheet4.xml" Id="R5412a40d96604c08" /><Relationship Type="http://schemas.openxmlformats.org/officeDocument/2006/relationships/worksheet" Target="/xl/worksheets/sheet5.xml" Id="Re9650a7ee93c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" hidden="0" customWidth="1"/>
    <x:col min="4" max="4" width="2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" t="str">
        <x:v>AMRUTAM - JR QA ENGINEER ASSIGNMENT</x:v>
      </x:c>
      <x:c r="B1" s="7"/>
      <x:c r="C1" s="7"/>
      <x:c r="D1" s="7"/>
      <x:c r="E1" s="7"/>
      <x:c r="F1" s="7"/>
      <x:c r="G1" s="7"/>
      <x:c r="H1" s="7"/>
    </x:row>
    <x:row r="2">
      <x:c r="A2" s="15" t="str">
        <x:v>Candidate: Nikhil Awasthi | Platforms: Web + Android | Exploratory + Functional Testing</x:v>
      </x:c>
      <x:c r="B2" s="15"/>
      <x:c r="C2" s="15"/>
      <x:c r="D2" s="15"/>
      <x:c r="E2" s="15"/>
      <x:c r="F2" s="15"/>
      <x:c r="G2" s="15"/>
      <x:c r="H2" s="15"/>
    </x:row>
    <x:row r="4">
      <x:c r="A4" s="54" t="str">
        <x:v>Metric</x:v>
      </x:c>
      <x:c r="B4" s="55" t="str">
        <x:v>Value</x:v>
      </x:c>
      <x:c r="C4" s="56"/>
      <x:c r="D4" s="55" t="str">
        <x:v>Test Execution</x:v>
      </x:c>
      <x:c r="E4" s="57" t="str">
        <x:v>Value</x:v>
      </x:c>
      <x:c r="F4" s="36"/>
      <x:c r="G4" s="36"/>
      <x:c r="H4" s="36"/>
    </x:row>
    <x:row r="5">
      <x:c r="A5" s="58" t="str">
        <x:v>Total Bugs</x:v>
      </x:c>
      <x:c r="B5" s="36" t="n">
        <x:f>COUNTA('Bug Log'!A2:A200)</x:f>
        <x:v>11</x:v>
      </x:c>
      <x:c r="C5" s="36"/>
      <x:c r="D5" s="36" t="str">
        <x:v>Total Test Cases</x:v>
      </x:c>
      <x:c r="E5" s="59" t="n">
        <x:f>COUNTA('Test Cases'!A2:A200)</x:f>
        <x:v>44</x:v>
      </x:c>
      <x:c r="F5" s="36"/>
      <x:c r="G5" s="36"/>
      <x:c r="H5" s="36"/>
    </x:row>
    <x:row r="6">
      <x:c r="A6" s="58" t="str">
        <x:v>Web Bugs</x:v>
      </x:c>
      <x:c r="B6" s="36" t="n">
        <x:f>COUNTIF('Bug Log'!B2:B200,"Web")</x:f>
        <x:v>6</x:v>
      </x:c>
      <x:c r="C6" s="36"/>
      <x:c r="D6" s="36" t="str">
        <x:v>Passed</x:v>
      </x:c>
      <x:c r="E6" s="59" t="n">
        <x:f>COUNTIF('Test Cases'!G2:G200,"Pass")</x:f>
        <x:v>33</x:v>
      </x:c>
      <x:c r="F6" s="36"/>
      <x:c r="G6" s="36"/>
      <x:c r="H6" s="36"/>
    </x:row>
    <x:row r="7">
      <x:c r="A7" s="58" t="str">
        <x:v>Android Bugs</x:v>
      </x:c>
      <x:c r="B7" s="36" t="n">
        <x:f>COUNTIF('Bug Log'!B2:B200,"Android")</x:f>
        <x:v>5</x:v>
      </x:c>
      <x:c r="C7" s="36"/>
      <x:c r="D7" s="36" t="str">
        <x:v>Failed</x:v>
      </x:c>
      <x:c r="E7" s="59" t="n">
        <x:f>COUNTIF('Test Cases'!G2:G200,"Fail")</x:f>
        <x:v>11</x:v>
      </x:c>
      <x:c r="F7" s="36"/>
      <x:c r="G7" s="36"/>
      <x:c r="H7" s="36"/>
    </x:row>
    <x:row r="8">
      <x:c r="A8" s="58" t="str">
        <x:v>Medium Severity</x:v>
      </x:c>
      <x:c r="B8" s="36" t="n">
        <x:f>COUNTIF('Bug Log'!H2:H200,"Medium")</x:f>
        <x:v>8</x:v>
      </x:c>
      <x:c r="C8" s="36"/>
      <x:c r="D8" s="36" t="str">
        <x:v>Pass Rate</x:v>
      </x:c>
      <x:c r="E8" s="60" t="n">
        <x:f>IF(E5=0,0,E6/E5)</x:f>
        <x:v>0.75</x:v>
      </x:c>
      <x:c r="F8" s="36"/>
      <x:c r="G8" s="36"/>
      <x:c r="H8" s="36"/>
    </x:row>
    <x:row r="9">
      <x:c r="A9" s="61" t="str">
        <x:v>Low Severity</x:v>
      </x:c>
      <x:c r="B9" s="62" t="n">
        <x:f>COUNTIF('Bug Log'!H2:H200,"Low")</x:f>
        <x:v>3</x:v>
      </x:c>
      <x:c r="C9" s="62"/>
      <x:c r="D9" s="62"/>
      <x:c r="E9" s="63"/>
      <x:c r="F9" s="36"/>
      <x:c r="G9" s="36"/>
      <x:c r="H9" s="36"/>
    </x:row>
    <x:row r="10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38" t="str">
        <x:v>Scope / Notes</x:v>
      </x:c>
      <x:c r="B11" s="38" t="str"/>
      <x:c r="C11" s="38" t="str"/>
      <x:c r="D11" s="38" t="str"/>
      <x:c r="E11" s="38" t="str"/>
      <x:c r="F11" s="38" t="str"/>
      <x:c r="G11" s="38" t="str"/>
      <x:c r="H11" s="38" t="str"/>
    </x:row>
    <x:row r="12">
      <x:c r="A12" s="36" t="str">
        <x:v>Web</x:v>
      </x:c>
      <x:c r="B12" s="36" t="str">
        <x:v>Homepage, Login/OTP, Shop, Cart, Checkout, Consultation, Forum, Profile</x:v>
      </x:c>
      <x:c r="C12" s="36" t="str"/>
      <x:c r="D12" s="36" t="str"/>
      <x:c r="E12" s="36" t="str"/>
      <x:c r="F12" s="36" t="str"/>
      <x:c r="G12" s="36" t="str"/>
      <x:c r="H12" s="36" t="str"/>
    </x:row>
    <x:row r="13">
      <x:c r="A13" s="36" t="str">
        <x:v>Android</x:v>
      </x:c>
      <x:c r="B13" s="36" t="str">
        <x:v>Login/OTP, Search, Shop, Network, Forum, Bulletin/Notifications, Profile, Checkout</x:v>
      </x:c>
      <x:c r="C13" s="36" t="str"/>
      <x:c r="D13" s="36" t="str"/>
      <x:c r="E13" s="36" t="str"/>
      <x:c r="F13" s="36" t="str"/>
      <x:c r="G13" s="36" t="str"/>
      <x:c r="H13" s="36" t="str"/>
    </x:row>
    <x:row r="14">
      <x:c r="A14" s="36" t="str">
        <x:v>Payment Safety</x:v>
      </x:c>
      <x:c r="B14" s="36" t="str">
        <x:v>Payment gateway flow was tested only up to the payment stage; no real transaction was submitted.</x:v>
      </x:c>
      <x:c r="C14" s="36" t="str"/>
      <x:c r="D14" s="36" t="str"/>
      <x:c r="E14" s="36" t="str"/>
      <x:c r="F14" s="36" t="str"/>
      <x:c r="G14" s="36" t="str"/>
      <x:c r="H14" s="36" t="str"/>
    </x:row>
    <x:row r="15">
      <x:c r="A15" s="36" t="str">
        <x:v>Evidence</x:v>
      </x:c>
      <x:c r="B15" s="36" t="str">
        <x:v>Screenshots are included in the accompanying PDF report appendix.</x:v>
      </x:c>
      <x:c r="C15" s="36" t="str"/>
      <x:c r="D15" s="36" t="str"/>
      <x:c r="E15" s="36" t="str"/>
      <x:c r="F15" s="36" t="str"/>
      <x:c r="G15" s="36" t="str"/>
      <x:c r="H15" s="36" t="str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36" hidden="0" customWidth="1"/>
    <x:col min="5" max="5" width="42" hidden="0" customWidth="1"/>
    <x:col min="6" max="6" width="42" hidden="0" customWidth="1"/>
    <x:col min="7" max="7" width="42" hidden="0" customWidth="1"/>
    <x:col min="8" max="8" width="13" hidden="0" customWidth="1"/>
    <x:col min="9" max="9" width="13" hidden="0" customWidth="1"/>
    <x:col min="10" max="10" width="44" hidden="0" customWidth="1"/>
  </x:cols>
  <x:sheetData>
    <x:row r="1">
      <x:c r="A1" s="74" t="str">
        <x:v>Bug ID</x:v>
      </x:c>
      <x:c r="B1" s="75" t="str">
        <x:v>Platform</x:v>
      </x:c>
      <x:c r="C1" s="75" t="str">
        <x:v>Module</x:v>
      </x:c>
      <x:c r="D1" s="75" t="str">
        <x:v>Bug Title</x:v>
      </x:c>
      <x:c r="E1" s="75" t="str">
        <x:v>Steps to Reproduce</x:v>
      </x:c>
      <x:c r="F1" s="75" t="str">
        <x:v>Expected Result</x:v>
      </x:c>
      <x:c r="G1" s="75" t="str">
        <x:v>Actual Result</x:v>
      </x:c>
      <x:c r="H1" s="75" t="str">
        <x:v>Severity</x:v>
      </x:c>
      <x:c r="I1" s="75" t="str">
        <x:v>Status</x:v>
      </x:c>
      <x:c r="J1" s="76" t="str">
        <x:v>Evidence</x:v>
      </x:c>
    </x:row>
    <x:row r="2">
      <x:c r="A2" s="77" t="str">
        <x:v>WEB-001</x:v>
      </x:c>
      <x:c r="B2" s="48" t="str">
        <x:v>Web</x:v>
      </x:c>
      <x:c r="C2" s="48" t="str">
        <x:v>Login / OTP</x:v>
      </x:c>
      <x:c r="D2" s="48" t="str">
        <x:v>OTP can be resent repeatedly without cooldown/rate limit</x:v>
      </x:c>
      <x:c r="E2" s="48" t="str">
        <x:v>1. Open Login page
2. Enter a valid 10-digit mobile number
3. Request OTP
4. On OTP screen, tap Resend OTP repeatedly within a few seconds</x:v>
      </x:c>
      <x:c r="F2" s="48" t="str">
        <x:v>Resend OTP should be rate-limited with a cooldown/timer and repeated requests should be temporarily blocked.</x:v>
      </x:c>
      <x:c r="G2" s="48" t="str">
        <x:v>Resend OTP can be triggered repeatedly with no cooldown. Each tap immediately sends a new OTP and shows 'OTP resent successfully!'.</x:v>
      </x:c>
      <x:c r="H2" s="48" t="str">
        <x:v>Medium</x:v>
      </x:c>
      <x:c r="I2" s="48" t="str">
        <x:v>Reproduced</x:v>
      </x:c>
      <x:c r="J2" s="78" t="str">
        <x:v>Fig. 1 - Multiple OTP resend success toasts</x:v>
      </x:c>
    </x:row>
    <x:row r="3">
      <x:c r="A3" s="79" t="str">
        <x:v>WEB-002</x:v>
      </x:c>
      <x:c r="B3" s="50" t="str">
        <x:v>Web</x:v>
      </x:c>
      <x:c r="C3" s="50" t="str">
        <x:v>Homepage / Content</x:v>
      </x:c>
      <x:c r="D3" s="50" t="str">
        <x:v>Incorrect grammar: 'It's offers' displayed in Ayurveda introduction</x:v>
      </x:c>
      <x:c r="E3" s="50" t="str">
        <x:v>1. Open amrutam.global
2. Scroll to 'Discover Ayurveda's Magic With Us'
3. Read the introduction text</x:v>
      </x:c>
      <x:c r="F3" s="50" t="str">
        <x:v>Sentence should use grammatically correct wording, e.g. 'It offers a holistic approach...'.</x:v>
      </x:c>
      <x:c r="G3" s="50" t="str">
        <x:v>Text is displayed as 'It's offers a holistic approach...'.</x:v>
      </x:c>
      <x:c r="H3" s="50" t="str">
        <x:v>Low</x:v>
      </x:c>
      <x:c r="I3" s="50" t="str">
        <x:v>Reproduced</x:v>
      </x:c>
      <x:c r="J3" s="80" t="str">
        <x:v>Fig. 2 - 'It's offers' highlighted</x:v>
      </x:c>
    </x:row>
    <x:row r="4">
      <x:c r="A4" s="77" t="str">
        <x:v>WEB-003</x:v>
      </x:c>
      <x:c r="B4" s="48" t="str">
        <x:v>Web</x:v>
      </x:c>
      <x:c r="C4" s="48" t="str">
        <x:v>Homepage / Content</x:v>
      </x:c>
      <x:c r="D4" s="48" t="str">
        <x:v>Incorrect wording: 'Register your self' displayed in Session Process</x:v>
      </x:c>
      <x:c r="E4" s="48" t="str">
        <x:v>1. Open homepage
2. Scroll to 'Session Process'
3. Check onboarding instruction</x:v>
      </x:c>
      <x:c r="F4" s="48" t="str">
        <x:v>Instruction should read 'Register yourself at amrutam.global'.</x:v>
      </x:c>
      <x:c r="G4" s="48" t="str">
        <x:v>Instruction is displayed as 'Register your self at amrutam.global'.</x:v>
      </x:c>
      <x:c r="H4" s="48" t="str">
        <x:v>Low</x:v>
      </x:c>
      <x:c r="I4" s="48" t="str">
        <x:v>Reproduced</x:v>
      </x:c>
      <x:c r="J4" s="78" t="str">
        <x:v>Fig. 3 - 'Register your self' highlighted</x:v>
      </x:c>
    </x:row>
    <x:row r="5">
      <x:c r="A5" s="79" t="str">
        <x:v>WEB-004</x:v>
      </x:c>
      <x:c r="B5" s="50" t="str">
        <x:v>Web</x:v>
      </x:c>
      <x:c r="C5" s="50" t="str">
        <x:v>Homepage / Content</x:v>
      </x:c>
      <x:c r="D5" s="50" t="str">
        <x:v>Spelling error: 'untill' displayed in follow-up section</x:v>
      </x:c>
      <x:c r="E5" s="50" t="str">
        <x:v>1. Open homepage
2. Scroll to 'Regular Follow-ups'
3. Read the support text</x:v>
      </x:c>
      <x:c r="F5" s="50" t="str">
        <x:v>Text should use the correct spelling 'until'.</x:v>
      </x:c>
      <x:c r="G5" s="50" t="str">
        <x:v>Text displays 'untill'.</x:v>
      </x:c>
      <x:c r="H5" s="50" t="str">
        <x:v>Low</x:v>
      </x:c>
      <x:c r="I5" s="50" t="str">
        <x:v>Reproduced</x:v>
      </x:c>
      <x:c r="J5" s="80" t="str">
        <x:v>Fig. 4 - 'untill' highlighted</x:v>
      </x:c>
    </x:row>
    <x:row r="6">
      <x:c r="A6" s="77" t="str">
        <x:v>WEB-005</x:v>
      </x:c>
      <x:c r="B6" s="48" t="str">
        <x:v>Web</x:v>
      </x:c>
      <x:c r="C6" s="48" t="str">
        <x:v>Profile / Edit Profile</x:v>
      </x:c>
      <x:c r="D6" s="48" t="str">
        <x:v>First Name and Last Name accept numeric-only values</x:v>
      </x:c>
      <x:c r="E6" s="48" t="str">
        <x:v>1. Login
2. Open Profile &gt; Edit Profile
3. Enter numeric-only values in First Name and Last Name
4. Save the profile</x:v>
      </x:c>
      <x:c r="F6" s="48" t="str">
        <x:v>Name fields should reject numeric-only values and show validation feedback.</x:v>
      </x:c>
      <x:c r="G6" s="48" t="str">
        <x:v>Numeric-only values are accepted/saved in both name fields.</x:v>
      </x:c>
      <x:c r="H6" s="48" t="str">
        <x:v>Medium</x:v>
      </x:c>
      <x:c r="I6" s="48" t="str">
        <x:v>Reproduced</x:v>
      </x:c>
      <x:c r="J6" s="78" t="str">
        <x:v>Fig. 5 - Numeric-only names accepted</x:v>
      </x:c>
    </x:row>
    <x:row r="7">
      <x:c r="A7" s="79" t="str">
        <x:v>WEB-006</x:v>
      </x:c>
      <x:c r="B7" s="50" t="str">
        <x:v>Web</x:v>
      </x:c>
      <x:c r="C7" s="50" t="str">
        <x:v>Profile / Edit Profile</x:v>
      </x:c>
      <x:c r="D7" s="50" t="str">
        <x:v>First Name and Last Name accept whitespace-only input</x:v>
      </x:c>
      <x:c r="E7" s="50" t="str">
        <x:v>1. Login
2. Open Profile &gt; Edit Profile
3. Enter only spaces in First Name and Last Name
4. Save the profile</x:v>
      </x:c>
      <x:c r="F7" s="50" t="str">
        <x:v>Whitespace-only values should be rejected as empty/invalid input.</x:v>
      </x:c>
      <x:c r="G7" s="50" t="str">
        <x:v>Profile saves successfully with blank-looking name fields containing only spaces.</x:v>
      </x:c>
      <x:c r="H7" s="50" t="str">
        <x:v>Medium</x:v>
      </x:c>
      <x:c r="I7" s="50" t="str">
        <x:v>Reproduced</x:v>
      </x:c>
      <x:c r="J7" s="80" t="str">
        <x:v>Fig. 6 - Whitespace-only names saved</x:v>
      </x:c>
    </x:row>
    <x:row r="8">
      <x:c r="A8" s="77" t="str">
        <x:v>MOB-001</x:v>
      </x:c>
      <x:c r="B8" s="48" t="str">
        <x:v>Android</x:v>
      </x:c>
      <x:c r="C8" s="48" t="str">
        <x:v>Search</x:v>
      </x:c>
      <x:c r="D8" s="48" t="str">
        <x:v>No 'No results found' feedback for invalid search query</x:v>
      </x:c>
      <x:c r="E8" s="48" t="str">
        <x:v>1. Open app search
2. Enter a non-existing query such as 'xyzabc123' or '@@@@'
3. Tap Search</x:v>
      </x:c>
      <x:c r="F8" s="48" t="str">
        <x:v>A clear empty-state message such as 'No products found' should be displayed.</x:v>
      </x:c>
      <x:c r="G8" s="48" t="str">
        <x:v>No result/empty-state feedback is shown; the generic Discover Amrutam screen remains, leaving the user unsure whether search executed.</x:v>
      </x:c>
      <x:c r="H8" s="48" t="str">
        <x:v>Medium</x:v>
      </x:c>
      <x:c r="I8" s="48" t="str">
        <x:v>Reproduced</x:v>
      </x:c>
      <x:c r="J8" s="78" t="str">
        <x:v>Fig. 7 - Invalid query shows no empty-state; valid query returns products</x:v>
      </x:c>
    </x:row>
    <x:row r="9">
      <x:c r="A9" s="79" t="str">
        <x:v>MOB-002</x:v>
      </x:c>
      <x:c r="B9" s="50" t="str">
        <x:v>Android</x:v>
      </x:c>
      <x:c r="C9" s="50" t="str">
        <x:v>Forum / Comments</x:v>
      </x:c>
      <x:c r="D9" s="50" t="str">
        <x:v>Latest newly posted comment incorrectly shows 1 like without user action</x:v>
      </x:c>
      <x:c r="E9" s="50" t="str">
        <x:v>1. Login
2. Open Forum &gt; Thoughts
3. Add a new comment
4. Do not tap the heart/like icon
5. Observe the latest comment and compare after posting another comment</x:v>
      </x:c>
      <x:c r="F9" s="50" t="str">
        <x:v>A newly posted comment should start at 0 likes until a user explicitly likes it.</x:v>
      </x:c>
      <x:c r="G9" s="50" t="str">
        <x:v>The latest comment displays 1 like automatically; after another comment is posted, the earlier comment can display 0, indicating inconsistent like-state rendering/sync.</x:v>
      </x:c>
      <x:c r="H9" s="50" t="str">
        <x:v>Medium</x:v>
      </x:c>
      <x:c r="I9" s="50" t="str">
        <x:v>Reproduced</x:v>
      </x:c>
      <x:c r="J9" s="80" t="str">
        <x:v>Fig. 8 - Latest comment shows 1 like while prior comments show 0</x:v>
      </x:c>
    </x:row>
    <x:row r="10">
      <x:c r="A10" s="77" t="str">
        <x:v>MOB-003</x:v>
      </x:c>
      <x:c r="B10" s="48" t="str">
        <x:v>Android</x:v>
      </x:c>
      <x:c r="C10" s="48" t="str">
        <x:v>Bulletin / Notifications</x:v>
      </x:c>
      <x:c r="D10" s="48" t="str">
        <x:v>Notification remains unread after opening linked thought</x:v>
      </x:c>
      <x:c r="E10" s="48" t="str">
        <x:v>1. In Bulletin &gt; Notifications, mark a notification as Unread
2. Tap 'View Thought'
3. Open the linked content
4. Return to Notifications and check status</x:v>
      </x:c>
      <x:c r="F10" s="48" t="str">
        <x:v>Opening the linked content from the notification should mark the notification as Read.</x:v>
      </x:c>
      <x:c r="G10" s="48" t="str">
        <x:v>Notification remains Unread after the linked thought is opened. It must be manually marked as Read.</x:v>
      </x:c>
      <x:c r="H10" s="48" t="str">
        <x:v>Medium</x:v>
      </x:c>
      <x:c r="I10" s="48" t="str">
        <x:v>Reproduced twice</x:v>
      </x:c>
      <x:c r="J10" s="78" t="str">
        <x:v>No screenshot captured; behavior reproduced twice</x:v>
      </x:c>
    </x:row>
    <x:row r="11">
      <x:c r="A11" s="79" t="str">
        <x:v>MOB-004</x:v>
      </x:c>
      <x:c r="B11" s="50" t="str">
        <x:v>Android</x:v>
      </x:c>
      <x:c r="C11" s="50" t="str">
        <x:v>Profile / Edit Profile</x:v>
      </x:c>
      <x:c r="D11" s="50" t="str">
        <x:v>Profile update blocked by required 'State' validation although State field is unavailable</x:v>
      </x:c>
      <x:c r="E11" s="50" t="str">
        <x:v>1. Login
2. Open Edit Profile
3. Update photo/profile details
4. Tap Update Profile</x:v>
      </x:c>
      <x:c r="F11" s="50" t="str">
        <x:v>Profile should update successfully, or a required State field should be visible/editable to the user.</x:v>
      </x:c>
      <x:c r="G11" s="50" t="str">
        <x:v>Update is blocked with 'State cannot be empty.' although the single Edit Profile screen provides no State field to fill.</x:v>
      </x:c>
      <x:c r="H11" s="50" t="str">
        <x:v>Medium</x:v>
      </x:c>
      <x:c r="I11" s="50" t="str">
        <x:v>Reproduced</x:v>
      </x:c>
      <x:c r="J11" s="80" t="str">
        <x:v>Fig. 9 - 'State cannot be empty' with no State field</x:v>
      </x:c>
    </x:row>
    <x:row r="12">
      <x:c r="A12" s="81" t="str">
        <x:v>MOB-005</x:v>
      </x:c>
      <x:c r="B12" s="82" t="str">
        <x:v>Android</x:v>
      </x:c>
      <x:c r="C12" s="82" t="str">
        <x:v>Shop / Checkout / Address</x:v>
      </x:c>
      <x:c r="D12" s="82" t="str">
        <x:v>Address form accepts invalid PIN code values</x:v>
      </x:c>
      <x:c r="E12" s="82" t="str">
        <x:v>1. Add a product to cart
2. Proceed to Checkout/Address
3. Enter invalid PIN code such as 000000 or 111111
4. Save/continue</x:v>
      </x:c>
      <x:c r="F12" s="82" t="str">
        <x:v>Invalid/non-serviceable PIN codes should be rejected with validation feedback.</x:v>
      </x:c>
      <x:c r="G12" s="82" t="str">
        <x:v>Invalid PIN codes 000000 and 111111 are accepted by the address form.</x:v>
      </x:c>
      <x:c r="H12" s="82" t="str">
        <x:v>Medium</x:v>
      </x:c>
      <x:c r="I12" s="82" t="str">
        <x:v>Reproduced</x:v>
      </x:c>
      <x:c r="J12" s="83" t="str">
        <x:v>No screenshot captured; reproduced with 000000 and 111111</x:v>
      </x:c>
    </x:row>
  </x:sheetData>
  <x:conditionalFormatting sqref="H2:H200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dataValidations count="2">
    <x:dataValidation type="list" sqref="H2:H200">
      <x:formula1>"Low,Medium,High"</x:formula1>
    </x:dataValidation>
    <x:dataValidation type="list" sqref="I2:I200">
      <x:formula1>"Reproduced,Reproduced twice,Retest Needed,Closed"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38" hidden="0" customWidth="1"/>
    <x:col min="5" max="5" width="38" hidden="0" customWidth="1"/>
    <x:col min="6" max="6" width="38" hidden="0" customWidth="1"/>
    <x:col min="7" max="7" width="12" hidden="0" customWidth="1"/>
    <x:col min="8" max="8" width="12" hidden="0" customWidth="1"/>
  </x:cols>
  <x:sheetData>
    <x:row r="1">
      <x:c r="A1" s="74" t="str">
        <x:v>Test Case ID</x:v>
      </x:c>
      <x:c r="B1" s="75" t="str">
        <x:v>Platform</x:v>
      </x:c>
      <x:c r="C1" s="75" t="str">
        <x:v>Module</x:v>
      </x:c>
      <x:c r="D1" s="75" t="str">
        <x:v>Test Scenario</x:v>
      </x:c>
      <x:c r="E1" s="75" t="str">
        <x:v>Test Steps / Data</x:v>
      </x:c>
      <x:c r="F1" s="75" t="str">
        <x:v>Expected Result</x:v>
      </x:c>
      <x:c r="G1" s="75" t="str">
        <x:v>Status</x:v>
      </x:c>
      <x:c r="H1" s="76" t="str">
        <x:v>Defect ID</x:v>
      </x:c>
    </x:row>
    <x:row r="2">
      <x:c r="A2" s="94" t="str">
        <x:v>WEB-TC-001</x:v>
      </x:c>
      <x:c r="B2" s="52" t="str">
        <x:v>Web</x:v>
      </x:c>
      <x:c r="C2" s="52" t="str">
        <x:v>Homepage</x:v>
      </x:c>
      <x:c r="D2" s="52" t="str">
        <x:v>Verify homepage loads and primary navigation is visible</x:v>
      </x:c>
      <x:c r="E2" s="52" t="str">
        <x:v>Open amrutam.global</x:v>
      </x:c>
      <x:c r="F2" s="52" t="str">
        <x:v>Homepage loads; Home, Find Experts, Shop, Forum, About Us are usable</x:v>
      </x:c>
      <x:c r="G2" s="52" t="str">
        <x:v>Pass</x:v>
      </x:c>
      <x:c r="H2" s="95" t="str"/>
    </x:row>
    <x:row r="3">
      <x:c r="A3" s="79" t="str">
        <x:v>WEB-TC-002</x:v>
      </x:c>
      <x:c r="B3" s="50" t="str">
        <x:v>Web</x:v>
      </x:c>
      <x:c r="C3" s="50" t="str">
        <x:v>Homepage</x:v>
      </x:c>
      <x:c r="D3" s="50" t="str">
        <x:v>Verify footer phone/email links are actionable</x:v>
      </x:c>
      <x:c r="E3" s="50" t="str">
        <x:v>Hover/click phone and email links</x:v>
      </x:c>
      <x:c r="F3" s="50" t="str">
        <x:v>Phone/email links behave as links</x:v>
      </x:c>
      <x:c r="G3" s="50" t="str">
        <x:v>Pass</x:v>
      </x:c>
      <x:c r="H3" s="80" t="str"/>
    </x:row>
    <x:row r="4">
      <x:c r="A4" s="94" t="str">
        <x:v>WEB-TC-003</x:v>
      </x:c>
      <x:c r="B4" s="52" t="str">
        <x:v>Web</x:v>
      </x:c>
      <x:c r="C4" s="52" t="str">
        <x:v>Navigation</x:v>
      </x:c>
      <x:c r="D4" s="52" t="str">
        <x:v>Verify About Us navigation</x:v>
      </x:c>
      <x:c r="E4" s="52" t="str">
        <x:v>Tap About Us</x:v>
      </x:c>
      <x:c r="F4" s="52" t="str">
        <x:v>Our Story page opens successfully</x:v>
      </x:c>
      <x:c r="G4" s="52" t="str">
        <x:v>Pass</x:v>
      </x:c>
      <x:c r="H4" s="95" t="str"/>
    </x:row>
    <x:row r="5">
      <x:c r="A5" s="79" t="str">
        <x:v>WEB-TC-004</x:v>
      </x:c>
      <x:c r="B5" s="50" t="str">
        <x:v>Web</x:v>
      </x:c>
      <x:c r="C5" s="50" t="str">
        <x:v>Login</x:v>
      </x:c>
      <x:c r="D5" s="50" t="str">
        <x:v>Validate invalid mobile number handling</x:v>
      </x:c>
      <x:c r="E5" s="50" t="str">
        <x:v>Enter malformed/invalid phone number</x:v>
      </x:c>
      <x:c r="F5" s="50" t="str">
        <x:v>Clear validation error shown</x:v>
      </x:c>
      <x:c r="G5" s="50" t="str">
        <x:v>Pass</x:v>
      </x:c>
      <x:c r="H5" s="80" t="str"/>
    </x:row>
    <x:row r="6">
      <x:c r="A6" s="94" t="str">
        <x:v>WEB-TC-005</x:v>
      </x:c>
      <x:c r="B6" s="52" t="str">
        <x:v>Web</x:v>
      </x:c>
      <x:c r="C6" s="52" t="str">
        <x:v>Login</x:v>
      </x:c>
      <x:c r="D6" s="52" t="str">
        <x:v>Verify valid number triggers OTP flow</x:v>
      </x:c>
      <x:c r="E6" s="52" t="str">
        <x:v>Enter valid 10-digit number and request OTP</x:v>
      </x:c>
      <x:c r="F6" s="52" t="str">
        <x:v>OTP screen opens and OTP is sent</x:v>
      </x:c>
      <x:c r="G6" s="52" t="str">
        <x:v>Pass</x:v>
      </x:c>
      <x:c r="H6" s="95" t="str"/>
    </x:row>
    <x:row r="7">
      <x:c r="A7" s="79" t="str">
        <x:v>WEB-TC-006</x:v>
      </x:c>
      <x:c r="B7" s="50" t="str">
        <x:v>Web</x:v>
      </x:c>
      <x:c r="C7" s="50" t="str">
        <x:v>OTP</x:v>
      </x:c>
      <x:c r="D7" s="50" t="str">
        <x:v>Verify OTP field rejects alphabet/special characters</x:v>
      </x:c>
      <x:c r="E7" s="50" t="str">
        <x:v>Try alphabet/special-character input</x:v>
      </x:c>
      <x:c r="F7" s="50" t="str">
        <x:v>Non-numeric input blocked</x:v>
      </x:c>
      <x:c r="G7" s="50" t="str">
        <x:v>Pass</x:v>
      </x:c>
      <x:c r="H7" s="80" t="str"/>
    </x:row>
    <x:row r="8">
      <x:c r="A8" s="94" t="str">
        <x:v>WEB-TC-007</x:v>
      </x:c>
      <x:c r="B8" s="52" t="str">
        <x:v>Web</x:v>
      </x:c>
      <x:c r="C8" s="52" t="str">
        <x:v>OTP</x:v>
      </x:c>
      <x:c r="D8" s="52" t="str">
        <x:v>Verify wrong OTP shows error</x:v>
      </x:c>
      <x:c r="E8" s="52" t="str">
        <x:v>Enter invalid OTP</x:v>
      </x:c>
      <x:c r="F8" s="52" t="str">
        <x:v>Clear invalid OTP feedback appears</x:v>
      </x:c>
      <x:c r="G8" s="52" t="str">
        <x:v>Pass</x:v>
      </x:c>
      <x:c r="H8" s="95" t="str"/>
    </x:row>
    <x:row r="9">
      <x:c r="A9" s="79" t="str">
        <x:v>WEB-TC-008</x:v>
      </x:c>
      <x:c r="B9" s="50" t="str">
        <x:v>Web</x:v>
      </x:c>
      <x:c r="C9" s="50" t="str">
        <x:v>OTP</x:v>
      </x:c>
      <x:c r="D9" s="50" t="str">
        <x:v>Verify Resend OTP is rate-limited</x:v>
      </x:c>
      <x:c r="E9" s="50" t="str">
        <x:v>Tap Resend OTP repeatedly</x:v>
      </x:c>
      <x:c r="F9" s="50" t="str">
        <x:v>Cooldown/rate limit prevents repeated immediate sends</x:v>
      </x:c>
      <x:c r="G9" s="50" t="str">
        <x:v>Fail</x:v>
      </x:c>
      <x:c r="H9" s="80" t="str">
        <x:v>WEB-001</x:v>
      </x:c>
    </x:row>
    <x:row r="10">
      <x:c r="A10" s="94" t="str">
        <x:v>WEB-TC-009</x:v>
      </x:c>
      <x:c r="B10" s="52" t="str">
        <x:v>Web</x:v>
      </x:c>
      <x:c r="C10" s="52" t="str">
        <x:v>Shop</x:v>
      </x:c>
      <x:c r="D10" s="52" t="str">
        <x:v>Verify product variant updates price</x:v>
      </x:c>
      <x:c r="E10" s="52" t="str">
        <x:v>Switch 200 GM to 400 GM</x:v>
      </x:c>
      <x:c r="F10" s="52" t="str">
        <x:v>Displayed price updates to selected variant</x:v>
      </x:c>
      <x:c r="G10" s="52" t="str">
        <x:v>Pass</x:v>
      </x:c>
      <x:c r="H10" s="95" t="str"/>
    </x:row>
    <x:row r="11">
      <x:c r="A11" s="79" t="str">
        <x:v>WEB-TC-010</x:v>
      </x:c>
      <x:c r="B11" s="50" t="str">
        <x:v>Web</x:v>
      </x:c>
      <x:c r="C11" s="50" t="str">
        <x:v>Shop</x:v>
      </x:c>
      <x:c r="D11" s="50" t="str">
        <x:v>Verify quantity cannot go below 1</x:v>
      </x:c>
      <x:c r="E11" s="50" t="str">
        <x:v>At quantity 1, tap minus</x:v>
      </x:c>
      <x:c r="F11" s="50" t="str">
        <x:v>Quantity remains at minimum 1</x:v>
      </x:c>
      <x:c r="G11" s="50" t="str">
        <x:v>Pass</x:v>
      </x:c>
      <x:c r="H11" s="80" t="str"/>
    </x:row>
    <x:row r="12">
      <x:c r="A12" s="94" t="str">
        <x:v>WEB-TC-011</x:v>
      </x:c>
      <x:c r="B12" s="52" t="str">
        <x:v>Web</x:v>
      </x:c>
      <x:c r="C12" s="52" t="str">
        <x:v>Cart</x:v>
      </x:c>
      <x:c r="D12" s="52" t="str">
        <x:v>Verify quantity and cart total calculation</x:v>
      </x:c>
      <x:c r="E12" s="52" t="str">
        <x:v>Set quantity to 2 and add to cart</x:v>
      </x:c>
      <x:c r="F12" s="52" t="str">
        <x:v>Cart total equals unit price x quantity</x:v>
      </x:c>
      <x:c r="G12" s="52" t="str">
        <x:v>Pass</x:v>
      </x:c>
      <x:c r="H12" s="95" t="str"/>
    </x:row>
    <x:row r="13">
      <x:c r="A13" s="79" t="str">
        <x:v>WEB-TC-012</x:v>
      </x:c>
      <x:c r="B13" s="50" t="str">
        <x:v>Web</x:v>
      </x:c>
      <x:c r="C13" s="50" t="str">
        <x:v>Cart</x:v>
      </x:c>
      <x:c r="D13" s="50" t="str">
        <x:v>Verify cart persists after refresh</x:v>
      </x:c>
      <x:c r="E13" s="50" t="str">
        <x:v>Add item, refresh page</x:v>
      </x:c>
      <x:c r="F13" s="50" t="str">
        <x:v>Cart contents remain</x:v>
      </x:c>
      <x:c r="G13" s="50" t="str">
        <x:v>Pass</x:v>
      </x:c>
      <x:c r="H13" s="80" t="str"/>
    </x:row>
    <x:row r="14">
      <x:c r="A14" s="94" t="str">
        <x:v>WEB-TC-013</x:v>
      </x:c>
      <x:c r="B14" s="52" t="str">
        <x:v>Web</x:v>
      </x:c>
      <x:c r="C14" s="52" t="str">
        <x:v>Checkout</x:v>
      </x:c>
      <x:c r="D14" s="52" t="str">
        <x:v>Verify invalid coupon gives feedback</x:v>
      </x:c>
      <x:c r="E14" s="52" t="str">
        <x:v>Enter random invalid coupon</x:v>
      </x:c>
      <x:c r="F14" s="52" t="str">
        <x:v>Proper invalid coupon message shown</x:v>
      </x:c>
      <x:c r="G14" s="52" t="str">
        <x:v>Pass</x:v>
      </x:c>
      <x:c r="H14" s="95" t="str"/>
    </x:row>
    <x:row r="15">
      <x:c r="A15" s="79" t="str">
        <x:v>WEB-TC-014</x:v>
      </x:c>
      <x:c r="B15" s="50" t="str">
        <x:v>Web</x:v>
      </x:c>
      <x:c r="C15" s="50" t="str">
        <x:v>Consult</x:v>
      </x:c>
      <x:c r="D15" s="50" t="str">
        <x:v>Verify past dates cannot be booked</x:v>
      </x:c>
      <x:c r="E15" s="50" t="str">
        <x:v>Open doctor availability</x:v>
      </x:c>
      <x:c r="F15" s="50" t="str">
        <x:v>Past dates are not selectable/displayed</x:v>
      </x:c>
      <x:c r="G15" s="50" t="str">
        <x:v>Pass</x:v>
      </x:c>
      <x:c r="H15" s="80" t="str"/>
    </x:row>
    <x:row r="16">
      <x:c r="A16" s="94" t="str">
        <x:v>WEB-TC-015</x:v>
      </x:c>
      <x:c r="B16" s="52" t="str">
        <x:v>Web</x:v>
      </x:c>
      <x:c r="C16" s="52" t="str">
        <x:v>Consult</x:v>
      </x:c>
      <x:c r="D16" s="52" t="str">
        <x:v>Verify booking requires authentication</x:v>
      </x:c>
      <x:c r="E16" s="52" t="str">
        <x:v>Select doctor/date/time while logged out; tap Book Appointment</x:v>
      </x:c>
      <x:c r="F16" s="52" t="str">
        <x:v>Login is requested before booking is completed</x:v>
      </x:c>
      <x:c r="G16" s="52" t="str">
        <x:v>Pass</x:v>
      </x:c>
      <x:c r="H16" s="95" t="str"/>
    </x:row>
    <x:row r="17">
      <x:c r="A17" s="79" t="str">
        <x:v>WEB-TC-016</x:v>
      </x:c>
      <x:c r="B17" s="50" t="str">
        <x:v>Web</x:v>
      </x:c>
      <x:c r="C17" s="50" t="str">
        <x:v>Profile</x:v>
      </x:c>
      <x:c r="D17" s="50" t="str">
        <x:v>Verify future DOB is blocked</x:v>
      </x:c>
      <x:c r="E17" s="50" t="str">
        <x:v>Try selecting a future DOB</x:v>
      </x:c>
      <x:c r="F17" s="50" t="str">
        <x:v>Future date is not selectable</x:v>
      </x:c>
      <x:c r="G17" s="50" t="str">
        <x:v>Pass</x:v>
      </x:c>
      <x:c r="H17" s="80" t="str"/>
    </x:row>
    <x:row r="18">
      <x:c r="A18" s="94" t="str">
        <x:v>WEB-TC-017</x:v>
      </x:c>
      <x:c r="B18" s="52" t="str">
        <x:v>Web</x:v>
      </x:c>
      <x:c r="C18" s="52" t="str">
        <x:v>Profile</x:v>
      </x:c>
      <x:c r="D18" s="52" t="str">
        <x:v>Verify invalid height is rejected</x:v>
      </x:c>
      <x:c r="E18" s="52" t="str">
        <x:v>Enter height 0</x:v>
      </x:c>
      <x:c r="F18" s="52" t="str">
        <x:v>Validation rejects value outside 30-300 cm</x:v>
      </x:c>
      <x:c r="G18" s="52" t="str">
        <x:v>Pass</x:v>
      </x:c>
      <x:c r="H18" s="95" t="str"/>
    </x:row>
    <x:row r="19">
      <x:c r="A19" s="79" t="str">
        <x:v>WEB-TC-018</x:v>
      </x:c>
      <x:c r="B19" s="50" t="str">
        <x:v>Web</x:v>
      </x:c>
      <x:c r="C19" s="50" t="str">
        <x:v>Profile</x:v>
      </x:c>
      <x:c r="D19" s="50" t="str">
        <x:v>Verify invalid weight is rejected</x:v>
      </x:c>
      <x:c r="E19" s="50" t="str">
        <x:v>Enter weight 0</x:v>
      </x:c>
      <x:c r="F19" s="50" t="str">
        <x:v>Validation rejects value outside 1-500 kg</x:v>
      </x:c>
      <x:c r="G19" s="50" t="str">
        <x:v>Pass</x:v>
      </x:c>
      <x:c r="H19" s="80" t="str"/>
    </x:row>
    <x:row r="20">
      <x:c r="A20" s="94" t="str">
        <x:v>WEB-TC-019</x:v>
      </x:c>
      <x:c r="B20" s="52" t="str">
        <x:v>Web</x:v>
      </x:c>
      <x:c r="C20" s="52" t="str">
        <x:v>Profile</x:v>
      </x:c>
      <x:c r="D20" s="52" t="str">
        <x:v>Verify name fields reject numeric-only input</x:v>
      </x:c>
      <x:c r="E20" s="52" t="str">
        <x:v>Enter only numbers in First/Last Name and save</x:v>
      </x:c>
      <x:c r="F20" s="52" t="str">
        <x:v>Numeric-only names are rejected</x:v>
      </x:c>
      <x:c r="G20" s="52" t="str">
        <x:v>Fail</x:v>
      </x:c>
      <x:c r="H20" s="95" t="str">
        <x:v>WEB-005</x:v>
      </x:c>
    </x:row>
    <x:row r="21">
      <x:c r="A21" s="79" t="str">
        <x:v>WEB-TC-020</x:v>
      </x:c>
      <x:c r="B21" s="50" t="str">
        <x:v>Web</x:v>
      </x:c>
      <x:c r="C21" s="50" t="str">
        <x:v>Profile</x:v>
      </x:c>
      <x:c r="D21" s="50" t="str">
        <x:v>Verify name fields reject whitespace-only input</x:v>
      </x:c>
      <x:c r="E21" s="50" t="str">
        <x:v>Enter only spaces in First/Last Name and save</x:v>
      </x:c>
      <x:c r="F21" s="50" t="str">
        <x:v>Whitespace-only names are rejected</x:v>
      </x:c>
      <x:c r="G21" s="50" t="str">
        <x:v>Fail</x:v>
      </x:c>
      <x:c r="H21" s="80" t="str">
        <x:v>WEB-006</x:v>
      </x:c>
    </x:row>
    <x:row r="22">
      <x:c r="A22" s="94" t="str">
        <x:v>WEB-TC-021</x:v>
      </x:c>
      <x:c r="B22" s="52" t="str">
        <x:v>Web</x:v>
      </x:c>
      <x:c r="C22" s="52" t="str">
        <x:v>Homepage Content</x:v>
      </x:c>
      <x:c r="D22" s="52" t="str">
        <x:v>Verify Ayurveda introduction grammar</x:v>
      </x:c>
      <x:c r="E22" s="52" t="str">
        <x:v>Review 'Discover Ayurveda's Magic With Us' text</x:v>
      </x:c>
      <x:c r="F22" s="52" t="str">
        <x:v>No grammar errors</x:v>
      </x:c>
      <x:c r="G22" s="52" t="str">
        <x:v>Fail</x:v>
      </x:c>
      <x:c r="H22" s="95" t="str">
        <x:v>WEB-002</x:v>
      </x:c>
    </x:row>
    <x:row r="23">
      <x:c r="A23" s="79" t="str">
        <x:v>WEB-TC-022</x:v>
      </x:c>
      <x:c r="B23" s="50" t="str">
        <x:v>Web</x:v>
      </x:c>
      <x:c r="C23" s="50" t="str">
        <x:v>Homepage Content</x:v>
      </x:c>
      <x:c r="D23" s="50" t="str">
        <x:v>Verify Session Process wording</x:v>
      </x:c>
      <x:c r="E23" s="50" t="str">
        <x:v>Review onboarding instruction</x:v>
      </x:c>
      <x:c r="F23" s="50" t="str">
        <x:v>Correct wording 'Register yourself'</x:v>
      </x:c>
      <x:c r="G23" s="50" t="str">
        <x:v>Fail</x:v>
      </x:c>
      <x:c r="H23" s="80" t="str">
        <x:v>WEB-003</x:v>
      </x:c>
    </x:row>
    <x:row r="24">
      <x:c r="A24" s="94" t="str">
        <x:v>WEB-TC-023</x:v>
      </x:c>
      <x:c r="B24" s="52" t="str">
        <x:v>Web</x:v>
      </x:c>
      <x:c r="C24" s="52" t="str">
        <x:v>Homepage Content</x:v>
      </x:c>
      <x:c r="D24" s="52" t="str">
        <x:v>Verify follow-up section spelling</x:v>
      </x:c>
      <x:c r="E24" s="52" t="str">
        <x:v>Review Regular Follow-ups text</x:v>
      </x:c>
      <x:c r="F24" s="52" t="str">
        <x:v>Correct spelling 'until'</x:v>
      </x:c>
      <x:c r="G24" s="52" t="str">
        <x:v>Fail</x:v>
      </x:c>
      <x:c r="H24" s="95" t="str">
        <x:v>WEB-004</x:v>
      </x:c>
    </x:row>
    <x:row r="25">
      <x:c r="A25" s="79" t="str">
        <x:v>MOB-TC-001</x:v>
      </x:c>
      <x:c r="B25" s="50" t="str">
        <x:v>Android</x:v>
      </x:c>
      <x:c r="C25" s="50" t="str">
        <x:v>Login</x:v>
      </x:c>
      <x:c r="D25" s="50" t="str">
        <x:v>Verify Continue is disabled for short phone number</x:v>
      </x:c>
      <x:c r="E25" s="50" t="str">
        <x:v>Enter only 5 digits</x:v>
      </x:c>
      <x:c r="F25" s="50" t="str">
        <x:v>Continue is unavailable</x:v>
      </x:c>
      <x:c r="G25" s="50" t="str">
        <x:v>Pass</x:v>
      </x:c>
      <x:c r="H25" s="80" t="str"/>
    </x:row>
    <x:row r="26">
      <x:c r="A26" s="94" t="str">
        <x:v>MOB-TC-002</x:v>
      </x:c>
      <x:c r="B26" s="52" t="str">
        <x:v>Android</x:v>
      </x:c>
      <x:c r="C26" s="52" t="str">
        <x:v>Login</x:v>
      </x:c>
      <x:c r="D26" s="52" t="str">
        <x:v>Verify phone field limits input length</x:v>
      </x:c>
      <x:c r="E26" s="52" t="str">
        <x:v>Try entering more than 10 digits</x:v>
      </x:c>
      <x:c r="F26" s="52" t="str">
        <x:v>Additional digits are not accepted</x:v>
      </x:c>
      <x:c r="G26" s="52" t="str">
        <x:v>Pass</x:v>
      </x:c>
      <x:c r="H26" s="95" t="str"/>
    </x:row>
    <x:row r="27">
      <x:c r="A27" s="79" t="str">
        <x:v>MOB-TC-003</x:v>
      </x:c>
      <x:c r="B27" s="50" t="str">
        <x:v>Android</x:v>
      </x:c>
      <x:c r="C27" s="50" t="str">
        <x:v>OTP</x:v>
      </x:c>
      <x:c r="D27" s="50" t="str">
        <x:v>Verify Resend OTP cooldown</x:v>
      </x:c>
      <x:c r="E27" s="50" t="str">
        <x:v>Request OTP and observe Resend OTP</x:v>
      </x:c>
      <x:c r="F27" s="50" t="str">
        <x:v>Countdown is shown before resend is allowed</x:v>
      </x:c>
      <x:c r="G27" s="50" t="str">
        <x:v>Pass</x:v>
      </x:c>
      <x:c r="H27" s="80" t="str"/>
    </x:row>
    <x:row r="28">
      <x:c r="A28" s="94" t="str">
        <x:v>MOB-TC-004</x:v>
      </x:c>
      <x:c r="B28" s="52" t="str">
        <x:v>Android</x:v>
      </x:c>
      <x:c r="C28" s="52" t="str">
        <x:v>OTP</x:v>
      </x:c>
      <x:c r="D28" s="52" t="str">
        <x:v>Verify old OTP becomes invalid after resend</x:v>
      </x:c>
      <x:c r="E28" s="52" t="str">
        <x:v>Resend OTP, then enter previous OTP</x:v>
      </x:c>
      <x:c r="F28" s="52" t="str">
        <x:v>Old OTP is rejected</x:v>
      </x:c>
      <x:c r="G28" s="52" t="str">
        <x:v>Pass</x:v>
      </x:c>
      <x:c r="H28" s="95" t="str"/>
    </x:row>
    <x:row r="29">
      <x:c r="A29" s="79" t="str">
        <x:v>MOB-TC-005</x:v>
      </x:c>
      <x:c r="B29" s="50" t="str">
        <x:v>Android</x:v>
      </x:c>
      <x:c r="C29" s="50" t="str">
        <x:v>Search</x:v>
      </x:c>
      <x:c r="D29" s="50" t="str">
        <x:v>Verify no-result search provides user feedback</x:v>
      </x:c>
      <x:c r="E29" s="50" t="str">
        <x:v>Search xyzabc123 / @@@@</x:v>
      </x:c>
      <x:c r="F29" s="50" t="str">
        <x:v>No-results empty state is displayed</x:v>
      </x:c>
      <x:c r="G29" s="50" t="str">
        <x:v>Fail</x:v>
      </x:c>
      <x:c r="H29" s="80" t="str">
        <x:v>MOB-001</x:v>
      </x:c>
    </x:row>
    <x:row r="30">
      <x:c r="A30" s="94" t="str">
        <x:v>MOB-TC-006</x:v>
      </x:c>
      <x:c r="B30" s="52" t="str">
        <x:v>Android</x:v>
      </x:c>
      <x:c r="C30" s="52" t="str">
        <x:v>Search</x:v>
      </x:c>
      <x:c r="D30" s="52" t="str">
        <x:v>Verify valid product search returns matches</x:v>
      </x:c>
      <x:c r="E30" s="52" t="str">
        <x:v>Search 'Kuntal care'</x:v>
      </x:c>
      <x:c r="F30" s="52" t="str">
        <x:v>Matching Kuntal products are displayed</x:v>
      </x:c>
      <x:c r="G30" s="52" t="str">
        <x:v>Pass</x:v>
      </x:c>
      <x:c r="H30" s="95" t="str"/>
    </x:row>
    <x:row r="31">
      <x:c r="A31" s="79" t="str">
        <x:v>MOB-TC-007</x:v>
      </x:c>
      <x:c r="B31" s="50" t="str">
        <x:v>Android</x:v>
      </x:c>
      <x:c r="C31" s="50" t="str">
        <x:v>Search</x:v>
      </x:c>
      <x:c r="D31" s="50" t="str">
        <x:v>Verify search handles case, spaces and partial query</x:v>
      </x:c>
      <x:c r="E31" s="50" t="str">
        <x:v>Try lowercase, leading/trailing spaces, and 'Kuntal'</x:v>
      </x:c>
      <x:c r="F31" s="50" t="str">
        <x:v>Relevant results remain consistent</x:v>
      </x:c>
      <x:c r="G31" s="50" t="str">
        <x:v>Pass</x:v>
      </x:c>
      <x:c r="H31" s="80" t="str"/>
    </x:row>
    <x:row r="32">
      <x:c r="A32" s="94" t="str">
        <x:v>MOB-TC-008</x:v>
      </x:c>
      <x:c r="B32" s="52" t="str">
        <x:v>Android</x:v>
      </x:c>
      <x:c r="C32" s="52" t="str">
        <x:v>Shop</x:v>
      </x:c>
      <x:c r="D32" s="52" t="str">
        <x:v>Verify cart persists after app restart</x:v>
      </x:c>
      <x:c r="E32" s="52" t="str">
        <x:v>Add item, force-close app, reopen</x:v>
      </x:c>
      <x:c r="F32" s="52" t="str">
        <x:v>Cart item remains</x:v>
      </x:c>
      <x:c r="G32" s="52" t="str">
        <x:v>Pass</x:v>
      </x:c>
      <x:c r="H32" s="95" t="str"/>
    </x:row>
    <x:row r="33">
      <x:c r="A33" s="79" t="str">
        <x:v>MOB-TC-009</x:v>
      </x:c>
      <x:c r="B33" s="50" t="str">
        <x:v>Android</x:v>
      </x:c>
      <x:c r="C33" s="50" t="str">
        <x:v>Shop</x:v>
      </x:c>
      <x:c r="D33" s="50" t="str">
        <x:v>Verify rapid taps do not create duplicate cart actions</x:v>
      </x:c>
      <x:c r="E33" s="50" t="str">
        <x:v>Rapidly tap Add to Cart</x:v>
      </x:c>
      <x:c r="F33" s="50" t="str">
        <x:v>No unintended duplicate action</x:v>
      </x:c>
      <x:c r="G33" s="50" t="str">
        <x:v>Pass</x:v>
      </x:c>
      <x:c r="H33" s="80" t="str"/>
    </x:row>
    <x:row r="34">
      <x:c r="A34" s="94" t="str">
        <x:v>MOB-TC-010</x:v>
      </x:c>
      <x:c r="B34" s="52" t="str">
        <x:v>Android</x:v>
      </x:c>
      <x:c r="C34" s="52" t="str">
        <x:v>Network</x:v>
      </x:c>
      <x:c r="D34" s="52" t="str">
        <x:v>Verify offline state is handled</x:v>
      </x:c>
      <x:c r="E34" s="52" t="str">
        <x:v>Disable network and perform app action</x:v>
      </x:c>
      <x:c r="F34" s="52" t="str">
        <x:v>User receives proper no-network handling</x:v>
      </x:c>
      <x:c r="G34" s="52" t="str">
        <x:v>Pass</x:v>
      </x:c>
      <x:c r="H34" s="95" t="str"/>
    </x:row>
    <x:row r="35">
      <x:c r="A35" s="79" t="str">
        <x:v>MOB-TC-011</x:v>
      </x:c>
      <x:c r="B35" s="50" t="str">
        <x:v>Android</x:v>
      </x:c>
      <x:c r="C35" s="50" t="str">
        <x:v>Profile</x:v>
      </x:c>
      <x:c r="D35" s="50" t="str">
        <x:v>Verify numeric-only names are blocked</x:v>
      </x:c>
      <x:c r="E35" s="50" t="str">
        <x:v>Try entering numeric-only name</x:v>
      </x:c>
      <x:c r="F35" s="50" t="str">
        <x:v>Numeric-only entry is not allowed</x:v>
      </x:c>
      <x:c r="G35" s="50" t="str">
        <x:v>Pass</x:v>
      </x:c>
      <x:c r="H35" s="80" t="str"/>
    </x:row>
    <x:row r="36">
      <x:c r="A36" s="94" t="str">
        <x:v>MOB-TC-012</x:v>
      </x:c>
      <x:c r="B36" s="52" t="str">
        <x:v>Android</x:v>
      </x:c>
      <x:c r="C36" s="52" t="str">
        <x:v>Profile</x:v>
      </x:c>
      <x:c r="D36" s="52" t="str">
        <x:v>Verify whitespace-only names are blocked</x:v>
      </x:c>
      <x:c r="E36" s="52" t="str">
        <x:v>Try spaces-only name</x:v>
      </x:c>
      <x:c r="F36" s="52" t="str">
        <x:v>Spaces-only entry is not allowed</x:v>
      </x:c>
      <x:c r="G36" s="52" t="str">
        <x:v>Pass</x:v>
      </x:c>
      <x:c r="H36" s="95" t="str"/>
    </x:row>
    <x:row r="37">
      <x:c r="A37" s="79" t="str">
        <x:v>MOB-TC-013</x:v>
      </x:c>
      <x:c r="B37" s="50" t="str">
        <x:v>Android</x:v>
      </x:c>
      <x:c r="C37" s="50" t="str">
        <x:v>Profile</x:v>
      </x:c>
      <x:c r="D37" s="50" t="str">
        <x:v>Verify future DOB is blocked</x:v>
      </x:c>
      <x:c r="E37" s="50" t="str">
        <x:v>Try selecting future DOB</x:v>
      </x:c>
      <x:c r="F37" s="50" t="str">
        <x:v>Future DOB unavailable</x:v>
      </x:c>
      <x:c r="G37" s="50" t="str">
        <x:v>Pass</x:v>
      </x:c>
      <x:c r="H37" s="80" t="str"/>
    </x:row>
    <x:row r="38">
      <x:c r="A38" s="94" t="str">
        <x:v>MOB-TC-014</x:v>
      </x:c>
      <x:c r="B38" s="52" t="str">
        <x:v>Android</x:v>
      </x:c>
      <x:c r="C38" s="52" t="str">
        <x:v>Profile</x:v>
      </x:c>
      <x:c r="D38" s="52" t="str">
        <x:v>Verify invalid height/weight are blocked</x:v>
      </x:c>
      <x:c r="E38" s="52" t="str">
        <x:v>Try 0 for height/weight</x:v>
      </x:c>
      <x:c r="F38" s="52" t="str">
        <x:v>Invalid values rejected</x:v>
      </x:c>
      <x:c r="G38" s="52" t="str">
        <x:v>Pass</x:v>
      </x:c>
      <x:c r="H38" s="95" t="str"/>
    </x:row>
    <x:row r="39">
      <x:c r="A39" s="79" t="str">
        <x:v>MOB-TC-015</x:v>
      </x:c>
      <x:c r="B39" s="50" t="str">
        <x:v>Android</x:v>
      </x:c>
      <x:c r="C39" s="50" t="str">
        <x:v>Forum</x:v>
      </x:c>
      <x:c r="D39" s="50" t="str">
        <x:v>Verify whitespace-only comment is blocked</x:v>
      </x:c>
      <x:c r="E39" s="50" t="str">
        <x:v>Enter only spaces in comment field</x:v>
      </x:c>
      <x:c r="F39" s="50" t="str">
        <x:v>Add button remains disabled</x:v>
      </x:c>
      <x:c r="G39" s="50" t="str">
        <x:v>Pass</x:v>
      </x:c>
      <x:c r="H39" s="80" t="str"/>
    </x:row>
    <x:row r="40">
      <x:c r="A40" s="94" t="str">
        <x:v>MOB-TC-016</x:v>
      </x:c>
      <x:c r="B40" s="52" t="str">
        <x:v>Android</x:v>
      </x:c>
      <x:c r="C40" s="52" t="str">
        <x:v>Forum</x:v>
      </x:c>
      <x:c r="D40" s="52" t="str">
        <x:v>Verify new comment starts with zero likes</x:v>
      </x:c>
      <x:c r="E40" s="52" t="str">
        <x:v>Post a new comment without tapping Like</x:v>
      </x:c>
      <x:c r="F40" s="52" t="str">
        <x:v>Initial like count is 0</x:v>
      </x:c>
      <x:c r="G40" s="52" t="str">
        <x:v>Fail</x:v>
      </x:c>
      <x:c r="H40" s="95" t="str">
        <x:v>MOB-002</x:v>
      </x:c>
    </x:row>
    <x:row r="41">
      <x:c r="A41" s="79" t="str">
        <x:v>MOB-TC-017</x:v>
      </x:c>
      <x:c r="B41" s="50" t="str">
        <x:v>Android</x:v>
      </x:c>
      <x:c r="C41" s="50" t="str">
        <x:v>Forum</x:v>
      </x:c>
      <x:c r="D41" s="50" t="str">
        <x:v>Verify old comments remain available</x:v>
      </x:c>
      <x:c r="E41" s="50" t="str">
        <x:v>Post multiple comments; open View All Comments</x:v>
      </x:c>
      <x:c r="F41" s="50" t="str">
        <x:v>Earlier comments remain visible</x:v>
      </x:c>
      <x:c r="G41" s="50" t="str">
        <x:v>Pass</x:v>
      </x:c>
      <x:c r="H41" s="80" t="str"/>
    </x:row>
    <x:row r="42">
      <x:c r="A42" s="94" t="str">
        <x:v>MOB-TC-018</x:v>
      </x:c>
      <x:c r="B42" s="52" t="str">
        <x:v>Android</x:v>
      </x:c>
      <x:c r="C42" s="52" t="str">
        <x:v>Bulletin / Notifications</x:v>
      </x:c>
      <x:c r="D42" s="52" t="str">
        <x:v>Verify opening linked content marks notification read</x:v>
      </x:c>
      <x:c r="E42" s="52" t="str">
        <x:v>Mark notification unread; tap View Thought; return</x:v>
      </x:c>
      <x:c r="F42" s="52" t="str">
        <x:v>Notification status changes to Read</x:v>
      </x:c>
      <x:c r="G42" s="52" t="str">
        <x:v>Fail</x:v>
      </x:c>
      <x:c r="H42" s="95" t="str">
        <x:v>MOB-003</x:v>
      </x:c>
    </x:row>
    <x:row r="43">
      <x:c r="A43" s="79" t="str">
        <x:v>MOB-TC-019</x:v>
      </x:c>
      <x:c r="B43" s="50" t="str">
        <x:v>Android</x:v>
      </x:c>
      <x:c r="C43" s="50" t="str">
        <x:v>Profile</x:v>
      </x:c>
      <x:c r="D43" s="50" t="str">
        <x:v>Verify all required fields are available when updating profile</x:v>
      </x:c>
      <x:c r="E43" s="50" t="str">
        <x:v>Edit photo/details and tap Update Profile</x:v>
      </x:c>
      <x:c r="F43" s="50" t="str">
        <x:v>Update succeeds or all mandatory fields are visible</x:v>
      </x:c>
      <x:c r="G43" s="50" t="str">
        <x:v>Fail</x:v>
      </x:c>
      <x:c r="H43" s="80" t="str">
        <x:v>MOB-004</x:v>
      </x:c>
    </x:row>
    <x:row r="44">
      <x:c r="A44" s="94" t="str">
        <x:v>MOB-TC-020</x:v>
      </x:c>
      <x:c r="B44" s="52" t="str">
        <x:v>Android</x:v>
      </x:c>
      <x:c r="C44" s="52" t="str">
        <x:v>Checkout</x:v>
      </x:c>
      <x:c r="D44" s="52" t="str">
        <x:v>Verify invalid PIN codes are rejected</x:v>
      </x:c>
      <x:c r="E44" s="52" t="str">
        <x:v>Enter 000000 / 111111 in address form</x:v>
      </x:c>
      <x:c r="F44" s="52" t="str">
        <x:v>Invalid PIN is rejected with validation</x:v>
      </x:c>
      <x:c r="G44" s="52" t="str">
        <x:v>Fail</x:v>
      </x:c>
      <x:c r="H44" s="95" t="str">
        <x:v>MOB-005</x:v>
      </x:c>
    </x:row>
    <x:row r="45">
      <x:c r="A45" s="96" t="str">
        <x:v>MOB-TC-021</x:v>
      </x:c>
      <x:c r="B45" s="97" t="str">
        <x:v>Android</x:v>
      </x:c>
      <x:c r="C45" s="97" t="str">
        <x:v>Bulletin</x:v>
      </x:c>
      <x:c r="D45" s="97" t="str">
        <x:v>Verify empty Chats state is informative</x:v>
      </x:c>
      <x:c r="E45" s="97" t="str">
        <x:v>Open Bulletin &gt; Chats with no active chats</x:v>
      </x:c>
      <x:c r="F45" s="97" t="str">
        <x:v>Clear empty-state message is displayed</x:v>
      </x:c>
      <x:c r="G45" s="97" t="str">
        <x:v>Pass</x:v>
      </x:c>
      <x:c r="H45" s="98" t="str"/>
    </x:row>
  </x:sheetData>
  <x:conditionalFormatting sqref="G2:G200">
    <x:cfRule type="expression" dxfId="3" priority="1">
      <x:formula>G2="Pass"</x:formula>
    </x:cfRule>
    <x:cfRule type="expression" dxfId="4" priority="2">
      <x:formula>G2="Fail"</x:formula>
    </x:cfRule>
  </x:conditionalFormatting>
  <x:dataValidations count="1">
    <x:dataValidation type="list" sqref="G2:G200">
      <x:formula1>"Pass,Fail,Not Run,Blocked"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6" t="str">
        <x:v>TEST ENVIRONMENT &amp; EXECUTION NOTES</x:v>
      </x:c>
      <x:c r="B1" s="46"/>
      <x:c r="C1" s="46"/>
      <x:c r="D1" s="46"/>
    </x:row>
    <x:row r="2">
      <x:c r="A2" s="36"/>
      <x:c r="B2" s="36"/>
      <x:c r="C2" s="36"/>
      <x:c r="D2" s="36"/>
    </x:row>
    <x:row r="3">
      <x:c r="A3" s="54" t="str">
        <x:v>Item</x:v>
      </x:c>
      <x:c r="B3" s="57" t="str">
        <x:v>Details</x:v>
      </x:c>
      <x:c r="C3" s="36"/>
      <x:c r="D3" s="36"/>
    </x:row>
    <x:row r="4">
      <x:c r="A4" s="58" t="str">
        <x:v>Web Application</x:v>
      </x:c>
      <x:c r="B4" s="59" t="str">
        <x:v>https://amrutam.global/</x:v>
      </x:c>
      <x:c r="C4" s="36"/>
      <x:c r="D4" s="36"/>
    </x:row>
    <x:row r="5">
      <x:c r="A5" s="58" t="str">
        <x:v>Mobile Application</x:v>
      </x:c>
      <x:c r="B5" s="59" t="str">
        <x:v>Amrutam Ayurveda - Android</x:v>
      </x:c>
      <x:c r="C5" s="36"/>
      <x:c r="D5" s="36"/>
    </x:row>
    <x:row r="6">
      <x:c r="A6" s="58" t="str">
        <x:v>Web Browser</x:v>
      </x:c>
      <x:c r="B6" s="59" t="str">
        <x:v>Google Chrome on Windows desktop</x:v>
      </x:c>
      <x:c r="C6" s="36"/>
      <x:c r="D6" s="36"/>
    </x:row>
    <x:row r="7">
      <x:c r="A7" s="58" t="str">
        <x:v>Test Type</x:v>
      </x:c>
      <x:c r="B7" s="59" t="str">
        <x:v>Exploratory, Functional, Validation, UI/UX, Negative, Edge-case testing</x:v>
      </x:c>
      <x:c r="C7" s="36"/>
      <x:c r="D7" s="36"/>
    </x:row>
    <x:row r="8">
      <x:c r="A8" s="58" t="str">
        <x:v>Execution Date</x:v>
      </x:c>
      <x:c r="B8" s="59" t="str">
        <x:v>27-29 Aug 2026</x:v>
      </x:c>
      <x:c r="C8" s="36"/>
      <x:c r="D8" s="36"/>
    </x:row>
    <x:row r="9">
      <x:c r="A9" s="58" t="str">
        <x:v>Web Result</x:v>
      </x:c>
      <x:c r="B9" s="59" t="str">
        <x:v>6 confirmed defects</x:v>
      </x:c>
      <x:c r="C9" s="36"/>
      <x:c r="D9" s="36"/>
    </x:row>
    <x:row r="10">
      <x:c r="A10" s="61" t="str">
        <x:v>Android Result</x:v>
      </x:c>
      <x:c r="B10" s="63" t="str">
        <x:v>5 confirmed defects</x:v>
      </x:c>
      <x:c r="C10" s="36"/>
      <x:c r="D10" s="36"/>
    </x:row>
    <x:row r="11">
      <x:c r="A11" s="36"/>
      <x:c r="B11" s="36"/>
      <x:c r="C11" s="36"/>
      <x:c r="D11" s="36"/>
    </x:row>
    <x:row r="12">
      <x:c r="A12" s="38" t="str">
        <x:v>Coverage Notes</x:v>
      </x:c>
      <x:c r="B12" s="38" t="str"/>
      <x:c r="C12" s="38" t="str"/>
      <x:c r="D12" s="38" t="str"/>
    </x:row>
    <x:row r="13">
      <x:c r="A13" s="36" t="str">
        <x:v>Login / Onboarding</x:v>
      </x:c>
      <x:c r="B13" s="36" t="str">
        <x:v>OTP, validation, resend behavior</x:v>
      </x:c>
      <x:c r="C13" s="36" t="str"/>
      <x:c r="D13" s="36" t="str"/>
    </x:row>
    <x:row r="14">
      <x:c r="A14" s="36" t="str">
        <x:v>Doctor Consultation</x:v>
      </x:c>
      <x:c r="B14" s="36" t="str">
        <x:v>Availability, date selection, login gate, booking flow</x:v>
      </x:c>
      <x:c r="C14" s="36" t="str"/>
      <x:c r="D14" s="36" t="str"/>
    </x:row>
    <x:row r="15">
      <x:c r="A15" s="36" t="str">
        <x:v>E-commerce</x:v>
      </x:c>
      <x:c r="B15" s="36" t="str">
        <x:v>Search, product variants, quantity, cart, checkout/address</x:v>
      </x:c>
      <x:c r="C15" s="36" t="str"/>
      <x:c r="D15" s="36" t="str"/>
    </x:row>
    <x:row r="16">
      <x:c r="A16" s="36" t="str">
        <x:v>Content / Forum / Bulletin</x:v>
      </x:c>
      <x:c r="B16" s="36" t="str">
        <x:v>Content quality, comments, likes, notifications, navigation</x:v>
      </x:c>
      <x:c r="C16" s="36" t="str"/>
      <x:c r="D16" s="36" t="str"/>
    </x:row>
    <x:row r="17">
      <x:c r="A17" s="36" t="str">
        <x:v>Profile</x:v>
      </x:c>
      <x:c r="B17" s="36" t="str">
        <x:v>Field validation, DOB, height/weight, profile update</x:v>
      </x:c>
      <x:c r="C17" s="36" t="str"/>
      <x:c r="D17" s="36" t="str"/>
    </x:row>
    <x:row r="18">
      <x:c r="A18" s="36" t="str">
        <x:v>Usability / Edge Cases</x:v>
      </x:c>
      <x:c r="B18" s="36" t="str">
        <x:v>Network interruption, app restart, rapid taps, empty states</x:v>
      </x:c>
      <x:c r="C18" s="36" t="str"/>
      <x:c r="D18" s="36" t="str"/>
    </x:row>
  </x:sheetData>
  <x:mergeCells>
    <x:mergeCell ref="A1:D1"/>
    <x:mergeCell ref="A12:D12"/>
    <x:mergeCell ref="B13:D13"/>
    <x:mergeCell ref="B14:D14"/>
    <x:mergeCell ref="B15:D15"/>
    <x:mergeCell ref="B16:D16"/>
    <x:mergeCell ref="B17:D17"/>
    <x:mergeCell ref="B18:D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5" hidden="0" customWidth="1"/>
    <x:col min="4" max="4" width="46" hidden="0" customWidth="1"/>
  </x:cols>
  <x:sheetData>
    <x:row r="1">
      <x:c r="A1" s="74" t="str">
        <x:v>Figure</x:v>
      </x:c>
      <x:c r="B1" s="75" t="str">
        <x:v>Defect ID</x:v>
      </x:c>
      <x:c r="C1" s="75" t="str">
        <x:v>Description</x:v>
      </x:c>
      <x:c r="D1" s="76" t="str">
        <x:v>Screenshot File</x:v>
      </x:c>
    </x:row>
    <x:row r="2">
      <x:c r="A2" s="94" t="str">
        <x:v>Fig. 1</x:v>
      </x:c>
      <x:c r="B2" s="52" t="str">
        <x:v>WEB-001</x:v>
      </x:c>
      <x:c r="C2" s="52" t="str">
        <x:v>Multiple OTP resend success toasts</x:v>
      </x:c>
      <x:c r="D2" s="95" t="str">
        <x:v>c44dee55-ea90-4158-b67e-01c4d4fbf094.png</x:v>
      </x:c>
    </x:row>
    <x:row r="3">
      <x:c r="A3" s="79" t="str">
        <x:v>Fig. 2</x:v>
      </x:c>
      <x:c r="B3" s="50" t="str">
        <x:v>WEB-002</x:v>
      </x:c>
      <x:c r="C3" s="50" t="str">
        <x:v>Incorrect 'It's offers' text</x:v>
      </x:c>
      <x:c r="D3" s="80" t="str">
        <x:v>5236148c-597b-459a-9d26-712c96d36dc9.png</x:v>
      </x:c>
    </x:row>
    <x:row r="4">
      <x:c r="A4" s="94" t="str">
        <x:v>Fig. 3</x:v>
      </x:c>
      <x:c r="B4" s="52" t="str">
        <x:v>WEB-003</x:v>
      </x:c>
      <x:c r="C4" s="52" t="str">
        <x:v>Incorrect 'Register your self' wording</x:v>
      </x:c>
      <x:c r="D4" s="95" t="str">
        <x:v>0430c36b-589f-49a0-87ee-7452e9b74ab7.png</x:v>
      </x:c>
    </x:row>
    <x:row r="5">
      <x:c r="A5" s="79" t="str">
        <x:v>Fig. 4</x:v>
      </x:c>
      <x:c r="B5" s="50" t="str">
        <x:v>WEB-004</x:v>
      </x:c>
      <x:c r="C5" s="50" t="str">
        <x:v>Misspelling 'untill'</x:v>
      </x:c>
      <x:c r="D5" s="80" t="str">
        <x:v>b3d7bba5-cd59-43c4-9aed-258d9930a347.png</x:v>
      </x:c>
    </x:row>
    <x:row r="6">
      <x:c r="A6" s="94" t="str">
        <x:v>Fig. 5</x:v>
      </x:c>
      <x:c r="B6" s="52" t="str">
        <x:v>WEB-005</x:v>
      </x:c>
      <x:c r="C6" s="52" t="str">
        <x:v>Numeric-only names accepted</x:v>
      </x:c>
      <x:c r="D6" s="95" t="str">
        <x:v>b37188e6-f228-43ec-ab3c-06de4aded748.png</x:v>
      </x:c>
    </x:row>
    <x:row r="7">
      <x:c r="A7" s="79" t="str">
        <x:v>Fig. 6</x:v>
      </x:c>
      <x:c r="B7" s="50" t="str">
        <x:v>WEB-006</x:v>
      </x:c>
      <x:c r="C7" s="50" t="str">
        <x:v>Whitespace-only names accepted</x:v>
      </x:c>
      <x:c r="D7" s="80" t="str">
        <x:v>6be1c91b-b120-441a-8afe-1ca9e052a1c2.png</x:v>
      </x:c>
    </x:row>
    <x:row r="8">
      <x:c r="A8" s="94" t="str">
        <x:v>Fig. 7A</x:v>
      </x:c>
      <x:c r="B8" s="52" t="str">
        <x:v>MOB-001</x:v>
      </x:c>
      <x:c r="C8" s="52" t="str">
        <x:v>Invalid search query has no no-results feedback</x:v>
      </x:c>
      <x:c r="D8" s="95" t="str">
        <x:v>d62511f5-c6e3-445b-9f2c-c8ccfac1d660.png</x:v>
      </x:c>
    </x:row>
    <x:row r="9">
      <x:c r="A9" s="79" t="str">
        <x:v>Fig. 7B</x:v>
      </x:c>
      <x:c r="B9" s="50" t="str">
        <x:v>MOB-001</x:v>
      </x:c>
      <x:c r="C9" s="50" t="str">
        <x:v>Valid 'Kuntal care' query returns products</x:v>
      </x:c>
      <x:c r="D9" s="80" t="str">
        <x:v>15e60cd8-639b-49cc-810b-ee309e749309.png</x:v>
      </x:c>
    </x:row>
    <x:row r="10">
      <x:c r="A10" s="94" t="str">
        <x:v>Fig. 8</x:v>
      </x:c>
      <x:c r="B10" s="52" t="str">
        <x:v>MOB-002</x:v>
      </x:c>
      <x:c r="C10" s="52" t="str">
        <x:v>Latest comment shows 1 like while previous own comments show 0</x:v>
      </x:c>
      <x:c r="D10" s="95" t="str">
        <x:v>f2d61b67-c8d4-4e17-a154-db1d696164ea.png</x:v>
      </x:c>
    </x:row>
    <x:row r="11">
      <x:c r="A11" s="96" t="str">
        <x:v>Fig. 9</x:v>
      </x:c>
      <x:c r="B11" s="97" t="str">
        <x:v>MOB-004</x:v>
      </x:c>
      <x:c r="C11" s="97" t="str">
        <x:v>Profile update error 'State cannot be empty' with no State field</x:v>
      </x:c>
      <x:c r="D11" s="98" t="str">
        <x:v>33e5a4f1-abc8-4998-8458-dc3d42cd7867.png</x:v>
      </x:c>
    </x:row>
  </x:sheetData>
  <x:pageMargins left="0.7" right="0.7" top="0.75" bottom="0.75" header="0.3" footer="0.3"/>
</x:worksheet>
</file>